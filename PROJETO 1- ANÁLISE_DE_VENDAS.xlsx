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8_{559E4D06-44CC-455E-A1B7-DAE161072624}" xr6:coauthVersionLast="47" xr6:coauthVersionMax="47" xr10:uidLastSave="{00000000-0000-0000-0000-000000000000}"/>
  <bookViews>
    <workbookView xWindow="-120" yWindow="-120" windowWidth="20730" windowHeight="11160" activeTab="3" xr2:uid="{51CD3212-4C3C-464F-940F-4216366E5BA3}"/>
  </bookViews>
  <sheets>
    <sheet name="FATURAMENTO-VENDEDOR" sheetId="2" r:id="rId1"/>
    <sheet name=" FATURAMENTO MONITOR" sheetId="7" r:id="rId2"/>
    <sheet name="DADOS-VENDAS" sheetId="1" r:id="rId3"/>
    <sheet name="DASHBORD" sheetId="5" r:id="rId4"/>
  </sheets>
  <definedNames>
    <definedName name="_xlnm._FilterDatabase" localSheetId="2" hidden="1">'DADOS-VENDAS'!$A$1:$F$13</definedName>
  </definedNames>
  <calcPr calcId="181029"/>
  <pivotCaches>
    <pivotCache cacheId="7" r:id="rId5"/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C4" i="2"/>
</calcChain>
</file>

<file path=xl/sharedStrings.xml><?xml version="1.0" encoding="utf-8"?>
<sst xmlns="http://schemas.openxmlformats.org/spreadsheetml/2006/main" count="91" uniqueCount="37">
  <si>
    <t>Vendedor</t>
  </si>
  <si>
    <t>Produto</t>
  </si>
  <si>
    <t>Quantidade</t>
  </si>
  <si>
    <t>Preço</t>
  </si>
  <si>
    <t>Faturamento</t>
  </si>
  <si>
    <t>Ana</t>
  </si>
  <si>
    <t>Notebook</t>
  </si>
  <si>
    <t>João</t>
  </si>
  <si>
    <t>Mouse</t>
  </si>
  <si>
    <t>Maria</t>
  </si>
  <si>
    <t>Teclado</t>
  </si>
  <si>
    <t>Carlos</t>
  </si>
  <si>
    <t>Monitor</t>
  </si>
  <si>
    <t>Rótulos de Linha</t>
  </si>
  <si>
    <t>Total Geral</t>
  </si>
  <si>
    <t>Soma de Faturamento</t>
  </si>
  <si>
    <t>Faturamento médio</t>
  </si>
  <si>
    <t>DASHBOARD DE VENDAS</t>
  </si>
  <si>
    <t>FATURAMENTO TOTAL</t>
  </si>
  <si>
    <t>MELHOR VENDEDOR</t>
  </si>
  <si>
    <t>PRODUTO COM MAIOR FATURAMENTO</t>
  </si>
  <si>
    <t>MARIA</t>
  </si>
  <si>
    <t>NOTEBOOK</t>
  </si>
  <si>
    <t>PRINCIPAIS RESULTADOS</t>
  </si>
  <si>
    <r>
      <t>1. Faturamento total:</t>
    </r>
    <r>
      <rPr>
        <sz val="11"/>
        <color theme="1"/>
        <rFont val="Calibri"/>
        <family val="2"/>
        <scheme val="minor"/>
      </rPr>
      <t xml:space="preserve"> R$ 55.160,00</t>
    </r>
  </si>
  <si>
    <r>
      <t>2. Produto líder:</t>
    </r>
    <r>
      <rPr>
        <sz val="11"/>
        <color theme="1"/>
        <rFont val="Calibri"/>
        <family val="2"/>
        <scheme val="minor"/>
      </rPr>
      <t xml:space="preserve"> Notebook — R$ 24.500,00</t>
    </r>
  </si>
  <si>
    <r>
      <t>3. Vendedor líder:</t>
    </r>
    <r>
      <rPr>
        <sz val="11"/>
        <color theme="1"/>
        <rFont val="Calibri"/>
        <family val="2"/>
        <scheme val="minor"/>
      </rPr>
      <t xml:space="preserve"> Maria — R$ 18.100,00</t>
    </r>
  </si>
  <si>
    <t>Maria apresentou o maior faturamento, com R$ 18.100,00, enquanto Carlos apresentou o menor, com R$ 9.960,00. João e Ana apresentaram resultados próximos, com R$ 13.700,00 e R$ 13.400,00, respectivamente.</t>
  </si>
  <si>
    <t>DESEMPENHO DOS PRODUTOS</t>
  </si>
  <si>
    <t>O Notebook apresentou o maior faturamento, com R$ 24.500,00, seguido pelo Monitor, com R$ 20.400,00. Teclado e Mouse apresentaram faturamentos menores, de R$ 5.460,00 e R$ 4.800,00, respectivamente.</t>
  </si>
  <si>
    <t>PRINCIPAIS CONCLUSÕES</t>
  </si>
  <si>
    <t>O faturamento total das vendas foi de R$ 55.160,00.</t>
  </si>
  <si>
    <t>O Notebook foi o produto com maior faturamento, totalizando R$ 24.500,00.</t>
  </si>
  <si>
    <t>Maria apresentou o maior faturamento entre os vendedores, totalizando R$ 18.100,00.</t>
  </si>
  <si>
    <t>FATURAMENTO MÉDIO</t>
  </si>
  <si>
    <t>TOTAL VENDAS</t>
  </si>
  <si>
    <t>TOTAL FATURAMENTO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</si>
</sst>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8" fontId="0" fillId="0" borderId="0" xfId="0" applyNumberFormat="1"/>
    <xf numFmtId="8" fontId="0" fillId="0" borderId="0" xfId="0" applyNumberFormat="1" applyAlignment="1">
      <alignment horizontal="right" vertical="center" wrapText="1"/>
    </xf>
    <xf numFmtId="0" fontId="1" fillId="0" borderId="0" xfId="0" applyFont="1"/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1- ANÁLISE_DE_VENDAS.xlsx]FATURAMENTO-VENDEDOR!Tabela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'FATURAMENTO-VENDEDOR'!$B$3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'FATURAMENTO-VENDEDOR'!$A$4:$A$18</c:f>
              <c:multiLvlStrCache>
                <c:ptCount val="10"/>
                <c:lvl>
                  <c:pt idx="0">
                    <c:v>Monitor</c:v>
                  </c:pt>
                  <c:pt idx="1">
                    <c:v>Notebook</c:v>
                  </c:pt>
                  <c:pt idx="2">
                    <c:v>Teclado</c:v>
                  </c:pt>
                  <c:pt idx="3">
                    <c:v>Mouse</c:v>
                  </c:pt>
                  <c:pt idx="4">
                    <c:v>Notebook</c:v>
                  </c:pt>
                  <c:pt idx="5">
                    <c:v>Monitor</c:v>
                  </c:pt>
                  <c:pt idx="6">
                    <c:v>Teclado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Notebook</c:v>
                  </c:pt>
                </c:lvl>
                <c:lvl>
                  <c:pt idx="0">
                    <c:v>Maria</c:v>
                  </c:pt>
                  <c:pt idx="3">
                    <c:v>João</c:v>
                  </c:pt>
                  <c:pt idx="5">
                    <c:v>Carlos</c:v>
                  </c:pt>
                  <c:pt idx="7">
                    <c:v>Ana</c:v>
                  </c:pt>
                </c:lvl>
              </c:multiLvlStrCache>
            </c:multiLvlStrRef>
          </c:cat>
          <c:val>
            <c:numRef>
              <c:f>'FATURAMENTO-VENDEDOR'!$B$4:$B$18</c:f>
              <c:numCache>
                <c:formatCode>General</c:formatCode>
                <c:ptCount val="10"/>
                <c:pt idx="0">
                  <c:v>9600</c:v>
                </c:pt>
                <c:pt idx="1">
                  <c:v>7000</c:v>
                </c:pt>
                <c:pt idx="2">
                  <c:v>1500</c:v>
                </c:pt>
                <c:pt idx="3">
                  <c:v>3200</c:v>
                </c:pt>
                <c:pt idx="4">
                  <c:v>10500</c:v>
                </c:pt>
                <c:pt idx="5">
                  <c:v>6000</c:v>
                </c:pt>
                <c:pt idx="6">
                  <c:v>3960</c:v>
                </c:pt>
                <c:pt idx="7">
                  <c:v>4800</c:v>
                </c:pt>
                <c:pt idx="8">
                  <c:v>1600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8-48B9-9A8F-122853D15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986176"/>
        <c:axId val="280985344"/>
      </c:barChart>
      <c:catAx>
        <c:axId val="2809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985344"/>
        <c:crosses val="autoZero"/>
        <c:auto val="1"/>
        <c:lblAlgn val="ctr"/>
        <c:lblOffset val="100"/>
        <c:noMultiLvlLbl val="0"/>
      </c:catAx>
      <c:valAx>
        <c:axId val="2809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9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VENDEDOR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247594050743651E-2"/>
          <c:y val="0.15319444444444447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DASHBORD!$A$13:$A$16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João</c:v>
                </c:pt>
                <c:pt idx="3">
                  <c:v>Maria</c:v>
                </c:pt>
              </c:strCache>
            </c:strRef>
          </c:cat>
          <c:val>
            <c:numRef>
              <c:f>DASHBORD!$B$13:$B$16</c:f>
              <c:numCache>
                <c:formatCode>General</c:formatCode>
                <c:ptCount val="4"/>
                <c:pt idx="0">
                  <c:v>13400</c:v>
                </c:pt>
                <c:pt idx="1">
                  <c:v>9960</c:v>
                </c:pt>
                <c:pt idx="2">
                  <c:v>13700</c:v>
                </c:pt>
                <c:pt idx="3">
                  <c:v>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7AE-96C9-A2A5DC0F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036080"/>
        <c:axId val="348032752"/>
      </c:barChart>
      <c:catAx>
        <c:axId val="3480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032752"/>
        <c:crosses val="autoZero"/>
        <c:auto val="1"/>
        <c:lblAlgn val="ctr"/>
        <c:lblOffset val="100"/>
        <c:noMultiLvlLbl val="0"/>
      </c:catAx>
      <c:valAx>
        <c:axId val="3480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0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1- ANÁLISE_DE_VENDAS.xlsx]FATURAMENTO-VENDEDOR!Tabela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'FATURAMENTO-VENDEDOR'!$B$3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'FATURAMENTO-VENDEDOR'!$A$4:$A$18</c:f>
              <c:multiLvlStrCache>
                <c:ptCount val="10"/>
                <c:lvl>
                  <c:pt idx="0">
                    <c:v>Monitor</c:v>
                  </c:pt>
                  <c:pt idx="1">
                    <c:v>Notebook</c:v>
                  </c:pt>
                  <c:pt idx="2">
                    <c:v>Teclado</c:v>
                  </c:pt>
                  <c:pt idx="3">
                    <c:v>Mouse</c:v>
                  </c:pt>
                  <c:pt idx="4">
                    <c:v>Notebook</c:v>
                  </c:pt>
                  <c:pt idx="5">
                    <c:v>Monitor</c:v>
                  </c:pt>
                  <c:pt idx="6">
                    <c:v>Teclado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Notebook</c:v>
                  </c:pt>
                </c:lvl>
                <c:lvl>
                  <c:pt idx="0">
                    <c:v>Maria</c:v>
                  </c:pt>
                  <c:pt idx="3">
                    <c:v>João</c:v>
                  </c:pt>
                  <c:pt idx="5">
                    <c:v>Carlos</c:v>
                  </c:pt>
                  <c:pt idx="7">
                    <c:v>Ana</c:v>
                  </c:pt>
                </c:lvl>
              </c:multiLvlStrCache>
            </c:multiLvlStrRef>
          </c:cat>
          <c:val>
            <c:numRef>
              <c:f>'FATURAMENTO-VENDEDOR'!$B$4:$B$18</c:f>
              <c:numCache>
                <c:formatCode>General</c:formatCode>
                <c:ptCount val="10"/>
                <c:pt idx="0">
                  <c:v>9600</c:v>
                </c:pt>
                <c:pt idx="1">
                  <c:v>7000</c:v>
                </c:pt>
                <c:pt idx="2">
                  <c:v>1500</c:v>
                </c:pt>
                <c:pt idx="3">
                  <c:v>3200</c:v>
                </c:pt>
                <c:pt idx="4">
                  <c:v>10500</c:v>
                </c:pt>
                <c:pt idx="5">
                  <c:v>6000</c:v>
                </c:pt>
                <c:pt idx="6">
                  <c:v>3960</c:v>
                </c:pt>
                <c:pt idx="7">
                  <c:v>4800</c:v>
                </c:pt>
                <c:pt idx="8">
                  <c:v>1600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F-4DA1-AD47-88847D6A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986176"/>
        <c:axId val="280985344"/>
      </c:barChart>
      <c:catAx>
        <c:axId val="2809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985344"/>
        <c:crosses val="autoZero"/>
        <c:auto val="1"/>
        <c:lblAlgn val="ctr"/>
        <c:lblOffset val="100"/>
        <c:noMultiLvlLbl val="0"/>
      </c:catAx>
      <c:valAx>
        <c:axId val="2809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9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5</xdr:row>
      <xdr:rowOff>100012</xdr:rowOff>
    </xdr:from>
    <xdr:to>
      <xdr:col>11</xdr:col>
      <xdr:colOff>390525</xdr:colOff>
      <xdr:row>19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B529E8-79E8-4664-951E-AC472DFA6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16</xdr:row>
      <xdr:rowOff>9525</xdr:rowOff>
    </xdr:from>
    <xdr:to>
      <xdr:col>18</xdr:col>
      <xdr:colOff>38100</xdr:colOff>
      <xdr:row>29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5ED685-F4CA-4DE1-9BD7-2755516D3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38100</xdr:rowOff>
    </xdr:from>
    <xdr:to>
      <xdr:col>10</xdr:col>
      <xdr:colOff>304800</xdr:colOff>
      <xdr:row>30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B64D9E0-0544-43FD-BF09-A116AFC3F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285.564189004632" createdVersion="7" refreshedVersion="7" minRefreshableVersion="3" recordCount="12" xr:uid="{2F2C7441-10CD-48AA-9D19-C6FAF1365B4F}">
  <cacheSource type="worksheet">
    <worksheetSource ref="A1:E13" sheet="DADOS-VENDAS"/>
  </cacheSource>
  <cacheFields count="5">
    <cacheField name="Vendedor" numFmtId="0">
      <sharedItems count="4">
        <s v="Ana"/>
        <s v="João"/>
        <s v="Maria"/>
        <s v="Carlos"/>
      </sharedItems>
    </cacheField>
    <cacheField name="Produto" numFmtId="0">
      <sharedItems count="4">
        <s v="Notebook"/>
        <s v="Mouse"/>
        <s v="Teclado"/>
        <s v="Monitor"/>
      </sharedItems>
    </cacheField>
    <cacheField name="Quantidade" numFmtId="0">
      <sharedItems containsSemiMixedTypes="0" containsString="0" containsNumber="1" containsInteger="1" minValue="2" maxValue="25"/>
    </cacheField>
    <cacheField name="Preço" numFmtId="0">
      <sharedItems containsSemiMixedTypes="0" containsString="0" containsNumber="1" containsInteger="1" minValue="80" maxValue="3500"/>
    </cacheField>
    <cacheField name="Faturamento" numFmtId="3">
      <sharedItems containsSemiMixedTypes="0" containsString="0" containsNumber="1" containsInteger="1" minValue="1200" maxValue="1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285.645684490744" createdVersion="7" refreshedVersion="7" minRefreshableVersion="3" recordCount="12" xr:uid="{5BF179AE-3E56-4BCD-8366-7D78BB02AE6B}">
  <cacheSource type="worksheet">
    <worksheetSource ref="A1:F13" sheet="DADOS-VENDAS"/>
  </cacheSource>
  <cacheFields count="6">
    <cacheField name="Vendedor" numFmtId="0">
      <sharedItems count="4">
        <s v="Ana"/>
        <s v="João"/>
        <s v="Maria"/>
        <s v="Carlos"/>
      </sharedItems>
    </cacheField>
    <cacheField name="Produto" numFmtId="0">
      <sharedItems count="4">
        <s v="Notebook"/>
        <s v="Mouse"/>
        <s v="Teclado"/>
        <s v="Monitor"/>
      </sharedItems>
    </cacheField>
    <cacheField name="Quantidade" numFmtId="0">
      <sharedItems containsSemiMixedTypes="0" containsString="0" containsNumber="1" containsInteger="1" minValue="2" maxValue="25"/>
    </cacheField>
    <cacheField name="Preço" numFmtId="0">
      <sharedItems containsSemiMixedTypes="0" containsString="0" containsNumber="1" containsInteger="1" minValue="80" maxValue="3500"/>
    </cacheField>
    <cacheField name="Faturamento" numFmtId="3">
      <sharedItems containsSemiMixedTypes="0" containsString="0" containsNumber="1" containsInteger="1" minValue="1200" maxValue="10500"/>
    </cacheField>
    <cacheField name="Faturamento méd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"/>
    <n v="3500"/>
    <n v="7000"/>
  </r>
  <r>
    <x v="1"/>
    <x v="1"/>
    <n v="15"/>
    <n v="80"/>
    <n v="1200"/>
  </r>
  <r>
    <x v="2"/>
    <x v="2"/>
    <n v="10"/>
    <n v="150"/>
    <n v="1500"/>
  </r>
  <r>
    <x v="3"/>
    <x v="3"/>
    <n v="5"/>
    <n v="1200"/>
    <n v="6000"/>
  </r>
  <r>
    <x v="0"/>
    <x v="1"/>
    <n v="20"/>
    <n v="80"/>
    <n v="1600"/>
  </r>
  <r>
    <x v="1"/>
    <x v="0"/>
    <n v="3"/>
    <n v="3500"/>
    <n v="10500"/>
  </r>
  <r>
    <x v="2"/>
    <x v="3"/>
    <n v="8"/>
    <n v="1200"/>
    <n v="9600"/>
  </r>
  <r>
    <x v="3"/>
    <x v="2"/>
    <n v="12"/>
    <n v="150"/>
    <n v="1800"/>
  </r>
  <r>
    <x v="0"/>
    <x v="3"/>
    <n v="4"/>
    <n v="1200"/>
    <n v="4800"/>
  </r>
  <r>
    <x v="1"/>
    <x v="1"/>
    <n v="25"/>
    <n v="80"/>
    <n v="2000"/>
  </r>
  <r>
    <x v="2"/>
    <x v="0"/>
    <n v="2"/>
    <n v="3500"/>
    <n v="7000"/>
  </r>
  <r>
    <x v="3"/>
    <x v="2"/>
    <n v="18"/>
    <n v="120"/>
    <n v="21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"/>
    <n v="3500"/>
    <n v="7000"/>
    <m/>
  </r>
  <r>
    <x v="1"/>
    <x v="1"/>
    <n v="15"/>
    <n v="80"/>
    <n v="1200"/>
    <m/>
  </r>
  <r>
    <x v="2"/>
    <x v="2"/>
    <n v="10"/>
    <n v="150"/>
    <n v="1500"/>
    <m/>
  </r>
  <r>
    <x v="3"/>
    <x v="3"/>
    <n v="5"/>
    <n v="1200"/>
    <n v="6000"/>
    <m/>
  </r>
  <r>
    <x v="0"/>
    <x v="1"/>
    <n v="20"/>
    <n v="80"/>
    <n v="1600"/>
    <m/>
  </r>
  <r>
    <x v="1"/>
    <x v="0"/>
    <n v="3"/>
    <n v="3500"/>
    <n v="10500"/>
    <m/>
  </r>
  <r>
    <x v="2"/>
    <x v="3"/>
    <n v="8"/>
    <n v="1200"/>
    <n v="9600"/>
    <m/>
  </r>
  <r>
    <x v="3"/>
    <x v="2"/>
    <n v="12"/>
    <n v="150"/>
    <n v="1800"/>
    <m/>
  </r>
  <r>
    <x v="0"/>
    <x v="3"/>
    <n v="4"/>
    <n v="1200"/>
    <n v="4800"/>
    <m/>
  </r>
  <r>
    <x v="1"/>
    <x v="1"/>
    <n v="25"/>
    <n v="80"/>
    <n v="2000"/>
    <m/>
  </r>
  <r>
    <x v="2"/>
    <x v="0"/>
    <n v="2"/>
    <n v="3500"/>
    <n v="7000"/>
    <m/>
  </r>
  <r>
    <x v="3"/>
    <x v="2"/>
    <n v="18"/>
    <n v="120"/>
    <n v="21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5753D-94A9-4ADB-A9C7-72673F322DFB}" name="Tabela dinâ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>
  <location ref="A3:B18" firstHeaderRow="1" firstDataRow="1" firstDataCol="1"/>
  <pivotFields count="5">
    <pivotField axis="axisRow" showAll="0" sortType="descending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numFmtId="3" showAll="0"/>
  </pivotFields>
  <rowFields count="2">
    <field x="0"/>
    <field x="1"/>
  </rowFields>
  <rowItems count="15">
    <i>
      <x/>
    </i>
    <i r="1">
      <x/>
    </i>
    <i r="1">
      <x v="2"/>
    </i>
    <i r="1">
      <x v="3"/>
    </i>
    <i>
      <x v="1"/>
    </i>
    <i r="1">
      <x v="1"/>
    </i>
    <i r="1">
      <x v="2"/>
    </i>
    <i>
      <x v="2"/>
    </i>
    <i r="1">
      <x/>
    </i>
    <i r="1">
      <x v="3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oma de Faturamento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4D734-E12E-4389-B6EF-9D0DEBBF2068}" name="Tabela dinâmica6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8" firstHeaderRow="1" firstDataRow="1" firstDataCol="1"/>
  <pivotFields count="6"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numFmtId="3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3"/>
    </i>
    <i>
      <x v="2"/>
    </i>
    <i r="1">
      <x v="1"/>
    </i>
    <i r="1">
      <x v="2"/>
    </i>
    <i>
      <x v="3"/>
    </i>
    <i r="1">
      <x/>
    </i>
    <i r="1">
      <x v="2"/>
    </i>
    <i r="1">
      <x v="3"/>
    </i>
    <i t="grand">
      <x/>
    </i>
  </rowItems>
  <colItems count="1">
    <i/>
  </colItems>
  <dataFields count="1">
    <dataField name="Soma de Faturament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609F-7092-40B1-AC4F-07AED0D3E89F}">
  <dimension ref="A3:C18"/>
  <sheetViews>
    <sheetView topLeftCell="A2" workbookViewId="0">
      <selection activeCell="D15" sqref="D15"/>
    </sheetView>
  </sheetViews>
  <sheetFormatPr defaultRowHeight="15" x14ac:dyDescent="0.25"/>
  <cols>
    <col min="1" max="1" width="18" bestFit="1" customWidth="1"/>
    <col min="2" max="2" width="20.7109375" bestFit="1" customWidth="1"/>
  </cols>
  <sheetData>
    <row r="3" spans="1:3" x14ac:dyDescent="0.25">
      <c r="A3" s="6" t="s">
        <v>13</v>
      </c>
      <c r="B3" t="s">
        <v>15</v>
      </c>
      <c r="C3" t="s">
        <v>16</v>
      </c>
    </row>
    <row r="4" spans="1:3" x14ac:dyDescent="0.25">
      <c r="A4" s="7" t="s">
        <v>9</v>
      </c>
      <c r="B4" s="8">
        <v>18100</v>
      </c>
      <c r="C4">
        <f>B18/12</f>
        <v>4596.666666666667</v>
      </c>
    </row>
    <row r="5" spans="1:3" x14ac:dyDescent="0.25">
      <c r="A5" s="9" t="s">
        <v>12</v>
      </c>
      <c r="B5" s="8">
        <v>9600</v>
      </c>
    </row>
    <row r="6" spans="1:3" x14ac:dyDescent="0.25">
      <c r="A6" s="9" t="s">
        <v>6</v>
      </c>
      <c r="B6" s="8">
        <v>7000</v>
      </c>
    </row>
    <row r="7" spans="1:3" x14ac:dyDescent="0.25">
      <c r="A7" s="9" t="s">
        <v>10</v>
      </c>
      <c r="B7" s="8">
        <v>1500</v>
      </c>
    </row>
    <row r="8" spans="1:3" x14ac:dyDescent="0.25">
      <c r="A8" s="7" t="s">
        <v>7</v>
      </c>
      <c r="B8" s="8">
        <v>13700</v>
      </c>
    </row>
    <row r="9" spans="1:3" x14ac:dyDescent="0.25">
      <c r="A9" s="9" t="s">
        <v>8</v>
      </c>
      <c r="B9" s="8">
        <v>3200</v>
      </c>
    </row>
    <row r="10" spans="1:3" x14ac:dyDescent="0.25">
      <c r="A10" s="9" t="s">
        <v>6</v>
      </c>
      <c r="B10" s="8">
        <v>10500</v>
      </c>
    </row>
    <row r="11" spans="1:3" x14ac:dyDescent="0.25">
      <c r="A11" s="7" t="s">
        <v>11</v>
      </c>
      <c r="B11" s="8">
        <v>9960</v>
      </c>
    </row>
    <row r="12" spans="1:3" x14ac:dyDescent="0.25">
      <c r="A12" s="9" t="s">
        <v>12</v>
      </c>
      <c r="B12" s="8">
        <v>6000</v>
      </c>
    </row>
    <row r="13" spans="1:3" x14ac:dyDescent="0.25">
      <c r="A13" s="9" t="s">
        <v>10</v>
      </c>
      <c r="B13" s="8">
        <v>3960</v>
      </c>
    </row>
    <row r="14" spans="1:3" x14ac:dyDescent="0.25">
      <c r="A14" s="7" t="s">
        <v>5</v>
      </c>
      <c r="B14" s="8">
        <v>13400</v>
      </c>
    </row>
    <row r="15" spans="1:3" x14ac:dyDescent="0.25">
      <c r="A15" s="9" t="s">
        <v>12</v>
      </c>
      <c r="B15" s="8">
        <v>4800</v>
      </c>
    </row>
    <row r="16" spans="1:3" x14ac:dyDescent="0.25">
      <c r="A16" s="9" t="s">
        <v>8</v>
      </c>
      <c r="B16" s="8">
        <v>1600</v>
      </c>
    </row>
    <row r="17" spans="1:2" x14ac:dyDescent="0.25">
      <c r="A17" s="9" t="s">
        <v>6</v>
      </c>
      <c r="B17" s="8">
        <v>7000</v>
      </c>
    </row>
    <row r="18" spans="1:2" x14ac:dyDescent="0.25">
      <c r="A18" s="7" t="s">
        <v>14</v>
      </c>
      <c r="B18" s="8">
        <v>55160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0F10-C42C-4EF5-829B-9FA51C2F33D9}">
  <dimension ref="A2:E18"/>
  <sheetViews>
    <sheetView workbookViewId="0">
      <selection activeCell="G21" sqref="G21"/>
    </sheetView>
  </sheetViews>
  <sheetFormatPr defaultRowHeight="15" x14ac:dyDescent="0.25"/>
  <cols>
    <col min="1" max="1" width="18" bestFit="1" customWidth="1"/>
    <col min="2" max="2" width="20.7109375" bestFit="1" customWidth="1"/>
  </cols>
  <sheetData>
    <row r="2" spans="1:5" x14ac:dyDescent="0.25">
      <c r="E2" s="12" t="s">
        <v>36</v>
      </c>
    </row>
    <row r="3" spans="1:5" x14ac:dyDescent="0.25">
      <c r="A3" s="6" t="s">
        <v>13</v>
      </c>
      <c r="B3" t="s">
        <v>15</v>
      </c>
    </row>
    <row r="4" spans="1:5" x14ac:dyDescent="0.25">
      <c r="A4" s="7" t="s">
        <v>5</v>
      </c>
      <c r="B4" s="8">
        <v>13400</v>
      </c>
      <c r="E4">
        <f>SUM(B5,B9,B15)</f>
        <v>20400</v>
      </c>
    </row>
    <row r="5" spans="1:5" x14ac:dyDescent="0.25">
      <c r="A5" s="9" t="s">
        <v>12</v>
      </c>
      <c r="B5" s="8">
        <v>4800</v>
      </c>
    </row>
    <row r="6" spans="1:5" x14ac:dyDescent="0.25">
      <c r="A6" s="9" t="s">
        <v>8</v>
      </c>
      <c r="B6" s="8">
        <v>1600</v>
      </c>
    </row>
    <row r="7" spans="1:5" x14ac:dyDescent="0.25">
      <c r="A7" s="9" t="s">
        <v>6</v>
      </c>
      <c r="B7" s="8">
        <v>7000</v>
      </c>
    </row>
    <row r="8" spans="1:5" x14ac:dyDescent="0.25">
      <c r="A8" s="7" t="s">
        <v>11</v>
      </c>
      <c r="B8" s="8">
        <v>9960</v>
      </c>
    </row>
    <row r="9" spans="1:5" x14ac:dyDescent="0.25">
      <c r="A9" s="9" t="s">
        <v>12</v>
      </c>
      <c r="B9" s="8">
        <v>6000</v>
      </c>
    </row>
    <row r="10" spans="1:5" x14ac:dyDescent="0.25">
      <c r="A10" s="9" t="s">
        <v>10</v>
      </c>
      <c r="B10" s="8">
        <v>3960</v>
      </c>
    </row>
    <row r="11" spans="1:5" x14ac:dyDescent="0.25">
      <c r="A11" s="7" t="s">
        <v>7</v>
      </c>
      <c r="B11" s="8">
        <v>13700</v>
      </c>
    </row>
    <row r="12" spans="1:5" x14ac:dyDescent="0.25">
      <c r="A12" s="9" t="s">
        <v>8</v>
      </c>
      <c r="B12" s="8">
        <v>3200</v>
      </c>
    </row>
    <row r="13" spans="1:5" x14ac:dyDescent="0.25">
      <c r="A13" s="9" t="s">
        <v>6</v>
      </c>
      <c r="B13" s="8">
        <v>10500</v>
      </c>
    </row>
    <row r="14" spans="1:5" x14ac:dyDescent="0.25">
      <c r="A14" s="7" t="s">
        <v>9</v>
      </c>
      <c r="B14" s="8">
        <v>18100</v>
      </c>
    </row>
    <row r="15" spans="1:5" x14ac:dyDescent="0.25">
      <c r="A15" s="9" t="s">
        <v>12</v>
      </c>
      <c r="B15" s="8">
        <v>9600</v>
      </c>
    </row>
    <row r="16" spans="1:5" x14ac:dyDescent="0.25">
      <c r="A16" s="9" t="s">
        <v>6</v>
      </c>
      <c r="B16" s="8">
        <v>7000</v>
      </c>
    </row>
    <row r="17" spans="1:2" x14ac:dyDescent="0.25">
      <c r="A17" s="9" t="s">
        <v>10</v>
      </c>
      <c r="B17" s="8">
        <v>1500</v>
      </c>
    </row>
    <row r="18" spans="1:2" x14ac:dyDescent="0.25">
      <c r="A18" s="7" t="s">
        <v>14</v>
      </c>
      <c r="B18" s="8">
        <v>55160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8BFA-1E56-4C41-98EE-40169B3FC3C1}">
  <dimension ref="A1:T13"/>
  <sheetViews>
    <sheetView workbookViewId="0">
      <selection activeCell="A12" sqref="A12"/>
    </sheetView>
  </sheetViews>
  <sheetFormatPr defaultRowHeight="15" x14ac:dyDescent="0.25"/>
  <sheetData>
    <row r="1" spans="1:20" ht="45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16</v>
      </c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30" x14ac:dyDescent="0.25">
      <c r="A2" s="4" t="s">
        <v>5</v>
      </c>
      <c r="B2" s="4" t="s">
        <v>6</v>
      </c>
      <c r="C2" s="2">
        <v>2</v>
      </c>
      <c r="D2" s="2">
        <v>3500</v>
      </c>
      <c r="E2" s="5">
        <v>7000</v>
      </c>
      <c r="N2" s="4"/>
      <c r="O2" s="11"/>
    </row>
    <row r="3" spans="1:20" x14ac:dyDescent="0.25">
      <c r="A3" s="4" t="s">
        <v>7</v>
      </c>
      <c r="B3" s="4" t="s">
        <v>8</v>
      </c>
      <c r="C3" s="2">
        <v>15</v>
      </c>
      <c r="D3" s="2">
        <v>80</v>
      </c>
      <c r="E3" s="5">
        <v>1200</v>
      </c>
      <c r="N3" s="4"/>
      <c r="O3" s="2"/>
    </row>
    <row r="4" spans="1:20" x14ac:dyDescent="0.25">
      <c r="A4" s="4" t="s">
        <v>9</v>
      </c>
      <c r="B4" s="4" t="s">
        <v>10</v>
      </c>
      <c r="C4" s="2">
        <v>10</v>
      </c>
      <c r="D4" s="2">
        <v>150</v>
      </c>
      <c r="E4" s="5">
        <v>1500</v>
      </c>
      <c r="N4" s="4"/>
      <c r="O4" s="11"/>
    </row>
    <row r="5" spans="1:20" x14ac:dyDescent="0.25">
      <c r="A5" s="4" t="s">
        <v>11</v>
      </c>
      <c r="B5" s="4" t="s">
        <v>12</v>
      </c>
      <c r="C5" s="2">
        <v>5</v>
      </c>
      <c r="D5" s="2">
        <v>1200</v>
      </c>
      <c r="E5" s="5">
        <v>6000</v>
      </c>
      <c r="K5" s="12"/>
      <c r="N5" s="4"/>
      <c r="O5" s="2"/>
    </row>
    <row r="6" spans="1:20" x14ac:dyDescent="0.25">
      <c r="A6" s="4" t="s">
        <v>5</v>
      </c>
      <c r="B6" s="4" t="s">
        <v>8</v>
      </c>
      <c r="C6" s="2">
        <v>20</v>
      </c>
      <c r="D6" s="2">
        <v>80</v>
      </c>
      <c r="E6" s="5">
        <v>1600</v>
      </c>
      <c r="K6" s="12"/>
      <c r="N6" s="4"/>
      <c r="O6" s="2"/>
    </row>
    <row r="7" spans="1:20" ht="30" x14ac:dyDescent="0.25">
      <c r="A7" s="4" t="s">
        <v>7</v>
      </c>
      <c r="B7" s="4" t="s">
        <v>6</v>
      </c>
      <c r="C7" s="2">
        <v>3</v>
      </c>
      <c r="D7" s="2">
        <v>3500</v>
      </c>
      <c r="E7" s="5">
        <v>10500</v>
      </c>
      <c r="K7" s="12"/>
    </row>
    <row r="8" spans="1:20" x14ac:dyDescent="0.25">
      <c r="A8" s="4" t="s">
        <v>9</v>
      </c>
      <c r="B8" s="4" t="s">
        <v>12</v>
      </c>
      <c r="C8" s="2">
        <v>8</v>
      </c>
      <c r="D8" s="2">
        <v>1200</v>
      </c>
      <c r="E8" s="5">
        <v>9600</v>
      </c>
      <c r="K8" s="12"/>
    </row>
    <row r="9" spans="1:20" x14ac:dyDescent="0.25">
      <c r="A9" s="4" t="s">
        <v>11</v>
      </c>
      <c r="B9" s="4" t="s">
        <v>10</v>
      </c>
      <c r="C9" s="2">
        <v>12</v>
      </c>
      <c r="D9" s="2">
        <v>150</v>
      </c>
      <c r="E9" s="5">
        <v>1800</v>
      </c>
      <c r="K9" s="12"/>
    </row>
    <row r="10" spans="1:20" x14ac:dyDescent="0.25">
      <c r="A10" s="4" t="s">
        <v>5</v>
      </c>
      <c r="B10" s="4" t="s">
        <v>12</v>
      </c>
      <c r="C10" s="2">
        <v>4</v>
      </c>
      <c r="D10" s="2">
        <v>1200</v>
      </c>
      <c r="E10" s="5">
        <v>4800</v>
      </c>
    </row>
    <row r="11" spans="1:20" x14ac:dyDescent="0.25">
      <c r="A11" s="4" t="s">
        <v>7</v>
      </c>
      <c r="B11" s="4" t="s">
        <v>8</v>
      </c>
      <c r="C11" s="2">
        <v>25</v>
      </c>
      <c r="D11" s="2">
        <v>80</v>
      </c>
      <c r="E11" s="5">
        <v>2000</v>
      </c>
    </row>
    <row r="12" spans="1:20" ht="30" x14ac:dyDescent="0.25">
      <c r="A12" s="4" t="s">
        <v>9</v>
      </c>
      <c r="B12" s="4" t="s">
        <v>6</v>
      </c>
      <c r="C12" s="2">
        <v>2</v>
      </c>
      <c r="D12" s="2">
        <v>3500</v>
      </c>
      <c r="E12" s="5">
        <v>7000</v>
      </c>
    </row>
    <row r="13" spans="1:20" x14ac:dyDescent="0.25">
      <c r="A13" s="4" t="s">
        <v>11</v>
      </c>
      <c r="B13" s="4" t="s">
        <v>10</v>
      </c>
      <c r="C13" s="2">
        <v>18</v>
      </c>
      <c r="D13" s="2">
        <v>120</v>
      </c>
      <c r="E13" s="5">
        <v>2160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6EDB-AD02-46B2-9894-CA852B9167B3}">
  <dimension ref="A2:F49"/>
  <sheetViews>
    <sheetView tabSelected="1" topLeftCell="A15" workbookViewId="0">
      <selection activeCell="H8" sqref="H8"/>
    </sheetView>
  </sheetViews>
  <sheetFormatPr defaultRowHeight="15" x14ac:dyDescent="0.25"/>
  <cols>
    <col min="1" max="1" width="10.7109375" customWidth="1"/>
    <col min="2" max="2" width="12.42578125" customWidth="1"/>
    <col min="4" max="4" width="10.7109375" customWidth="1"/>
    <col min="6" max="6" width="11" customWidth="1"/>
  </cols>
  <sheetData>
    <row r="2" spans="1:6" ht="15.75" x14ac:dyDescent="0.25">
      <c r="B2" s="15" t="s">
        <v>17</v>
      </c>
      <c r="C2" s="15"/>
    </row>
    <row r="4" spans="1:6" x14ac:dyDescent="0.25">
      <c r="B4" s="12" t="s">
        <v>18</v>
      </c>
      <c r="D4" s="12" t="s">
        <v>35</v>
      </c>
      <c r="F4" s="12" t="s">
        <v>34</v>
      </c>
    </row>
    <row r="5" spans="1:6" x14ac:dyDescent="0.25">
      <c r="B5" s="10">
        <v>55160</v>
      </c>
      <c r="D5">
        <v>12</v>
      </c>
      <c r="F5" s="13">
        <v>4596.67</v>
      </c>
    </row>
    <row r="6" spans="1:6" x14ac:dyDescent="0.25">
      <c r="F6" s="13"/>
    </row>
    <row r="8" spans="1:6" x14ac:dyDescent="0.25">
      <c r="B8" s="12" t="s">
        <v>19</v>
      </c>
      <c r="D8" s="12" t="s">
        <v>20</v>
      </c>
    </row>
    <row r="9" spans="1:6" x14ac:dyDescent="0.25">
      <c r="B9" t="s">
        <v>21</v>
      </c>
      <c r="D9" t="s">
        <v>22</v>
      </c>
    </row>
    <row r="12" spans="1:6" ht="30" x14ac:dyDescent="0.25">
      <c r="A12" s="1" t="s">
        <v>0</v>
      </c>
      <c r="B12" s="3" t="s">
        <v>4</v>
      </c>
    </row>
    <row r="13" spans="1:6" x14ac:dyDescent="0.25">
      <c r="A13" s="4" t="s">
        <v>5</v>
      </c>
      <c r="B13" s="2">
        <v>13400</v>
      </c>
    </row>
    <row r="14" spans="1:6" x14ac:dyDescent="0.25">
      <c r="A14" s="4" t="s">
        <v>11</v>
      </c>
      <c r="B14" s="2">
        <v>9960</v>
      </c>
    </row>
    <row r="15" spans="1:6" x14ac:dyDescent="0.25">
      <c r="A15" s="4" t="s">
        <v>7</v>
      </c>
      <c r="B15" s="2">
        <v>13700</v>
      </c>
    </row>
    <row r="16" spans="1:6" x14ac:dyDescent="0.25">
      <c r="A16" s="4" t="s">
        <v>9</v>
      </c>
      <c r="B16" s="2">
        <v>18100</v>
      </c>
    </row>
    <row r="33" spans="2:4" x14ac:dyDescent="0.25">
      <c r="D33" s="12" t="s">
        <v>23</v>
      </c>
    </row>
    <row r="35" spans="2:4" x14ac:dyDescent="0.25">
      <c r="B35" s="14" t="s">
        <v>24</v>
      </c>
    </row>
    <row r="36" spans="2:4" x14ac:dyDescent="0.25">
      <c r="B36" s="14" t="s">
        <v>25</v>
      </c>
    </row>
    <row r="37" spans="2:4" x14ac:dyDescent="0.25">
      <c r="B37" s="14" t="s">
        <v>26</v>
      </c>
    </row>
    <row r="39" spans="2:4" x14ac:dyDescent="0.25">
      <c r="B39" t="s">
        <v>27</v>
      </c>
    </row>
    <row r="41" spans="2:4" x14ac:dyDescent="0.25">
      <c r="D41" s="12" t="s">
        <v>28</v>
      </c>
    </row>
    <row r="43" spans="2:4" x14ac:dyDescent="0.25">
      <c r="B43" t="s">
        <v>29</v>
      </c>
    </row>
    <row r="45" spans="2:4" x14ac:dyDescent="0.25">
      <c r="D45" s="12" t="s">
        <v>30</v>
      </c>
    </row>
    <row r="47" spans="2:4" x14ac:dyDescent="0.25">
      <c r="B47" s="12" t="s">
        <v>31</v>
      </c>
    </row>
    <row r="48" spans="2:4" x14ac:dyDescent="0.25">
      <c r="B48" s="12" t="s">
        <v>32</v>
      </c>
    </row>
    <row r="49" spans="2:2" x14ac:dyDescent="0.25">
      <c r="B49" s="12" t="s">
        <v>33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FATURAMENTO-VENDEDOR</vt:lpstr>
      <vt:lpstr> FATURAMENTO MONITOR</vt:lpstr>
      <vt:lpstr>DADOS-VENDAS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Sonia Sonia</cp:lastModifiedBy>
  <dcterms:created xsi:type="dcterms:W3CDTF">2026-09-20T16:22:36Z</dcterms:created>
  <dcterms:modified xsi:type="dcterms:W3CDTF">2026-09-20T19:07:40Z</dcterms:modified>
</cp:coreProperties>
</file>